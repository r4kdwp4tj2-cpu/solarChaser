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d3d449c6f542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81a31b549fc4e86"/>
    <x:sheet xmlns:r="http://schemas.openxmlformats.org/officeDocument/2006/relationships" name="Loads" sheetId="2" r:id="Rc84d67a4fbc749ac"/>
    <x:sheet xmlns:r="http://schemas.openxmlformats.org/officeDocument/2006/relationships" name="Solar &amp; Charging" sheetId="3" r:id="Rc68d81b22f4d462a"/>
    <x:sheet xmlns:r="http://schemas.openxmlformats.org/officeDocument/2006/relationships" name="BOM" sheetId="4" r:id="R571a2572b3f24675"/>
    <x:sheet xmlns:r="http://schemas.openxmlformats.org/officeDocument/2006/relationships" name="Assumptions" sheetId="5" r:id="Rfcd975b70fcb49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0"/>
    <x:numFmt numFmtId="202" formatCode="CHF #,##0"/>
    <x:numFmt numFmtId="203" formatCode="0%"/>
    <x:numFmt numFmtId="204" formatCode="0 &quot;Wp&quot;"/>
    <x:numFmt numFmtId="205" formatCode="+0;-0;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2"/>
      <x:color rgb="FFFFFFFF"/>
      <x:name val="Carlito"/>
    </x:font>
    <x:font>
      <x:sz val="11"/>
      <x:color rgb="FF17324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0F6"/>
      </x:patternFill>
    </x:fill>
    <x:fill>
      <x:patternFill patternType="solid">
        <x:fgColor rgb="FFE7F3F1"/>
      </x:patternFill>
    </x:fill>
    <x:fill>
      <x:patternFill patternType="solid">
        <x:fgColor rgb="FFFFF2CC"/>
      </x:patternFill>
    </x:fill>
    <x:fill>
      <x:patternFill patternType="solid">
        <x:fgColor rgb="FF0F766E"/>
      </x:patternFill>
    </x:fill>
    <x:fill>
      <x:patternFill patternType="solid">
        <x:fgColor rgb="FFFCE8E6"/>
      </x:patternFill>
    </x:fill>
    <x:fill>
      <x:patternFill patternType="solid">
        <x:fgColor rgb="FFF3F4F6"/>
      </x:patternFill>
    </x:fill>
  </x:fills>
  <x:borders count="3">
    <x:border/>
    <x:border>
      <x:left style="thin">
        <x:color rgb="FFD6DCE2"/>
      </x:left>
      <x:right style="thin">
        <x:color rgb="FFD6DCE2"/>
      </x:right>
      <x:top style="thin">
        <x:color rgb="FFD6DCE2"/>
      </x:top>
      <x:bottom style="thin">
        <x:color rgb="FFD6DCE2"/>
      </x:bottom>
    </x:border>
    <x:border>
      <x:left style="thin">
        <x:color rgb="FFD6DCE2"/>
      </x:left>
      <x:right style="thin">
        <x:color rgb="FFD6DCE2"/>
      </x:right>
      <x:top style="thin">
        <x:color rgb="FFD6DCE2"/>
      </x:top>
      <x:bottom style="double">
        <x:color rgb="FF17324D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200" fontId="0" fillId="3" borderId="1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1" fontId="0" fillId="4" borderId="1" xfId="0" applyNumberFormat="1" applyFont="1" applyFill="1" applyBorder="1" applyAlignment="1">
      <x:alignment vertical="top" wrapText="1"/>
    </x:xf>
    <x:xf numFmtId="201" fontId="4" fillId="4" borderId="2" xfId="0" applyNumberFormat="1" applyFont="1" applyFill="1" applyBorder="1" applyAlignment="1">
      <x:alignment vertical="top" wrapText="1"/>
    </x:xf>
    <x:xf numFmtId="202" fontId="0" fillId="3" borderId="1" xfId="0" applyNumberFormat="1" applyFont="1" applyFill="1" applyBorder="1" applyAlignment="1">
      <x:alignment vertical="top" wrapText="1"/>
    </x:xf>
    <x:xf numFmtId="202" fontId="4" fillId="0" borderId="2" xfId="0" applyNumberFormat="1" applyFont="1" applyFill="1" applyBorder="1" applyAlignment="1">
      <x:alignment vertical="top" wrapText="1"/>
    </x:xf>
    <x:xf numFmtId="200" fontId="0" fillId="4" borderId="1" xfId="0" applyNumberFormat="1" applyFont="1" applyFill="1" applyBorder="1" applyAlignment="1">
      <x:alignment vertical="top" wrapText="1"/>
    </x:xf>
    <x:xf numFmtId="200" fontId="4" fillId="4" borderId="2" xfId="0" applyNumberFormat="1" applyFont="1" applyFill="1" applyBorder="1" applyAlignment="1">
      <x:alignment vertical="top" wrapText="1"/>
    </x:xf>
    <x:xf numFmtId="202" fontId="0" fillId="4" borderId="1" xfId="0" applyNumberFormat="1" applyFont="1" applyFill="1" applyBorder="1" applyAlignment="1">
      <x:alignment vertical="top" wrapText="1"/>
    </x:xf>
    <x:xf numFmtId="202" fontId="4" fillId="4" borderId="2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200" fontId="0" fillId="5" borderId="1" xfId="0" applyNumberFormat="1" applyFont="1" applyFill="1" applyBorder="1" applyAlignment="1">
      <x:alignment vertical="top" wrapText="1"/>
    </x:xf>
    <x:xf numFmtId="203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204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5" fontId="0" fillId="0" borderId="1" xfId="0" applyNumberFormat="1" applyFont="1" applyFill="1" applyBorder="1" applyAlignment="1">
      <x:alignment vertical="top" wrapText="1"/>
    </x:xf>
    <x:xf numFmtId="203" fontId="0" fillId="4" borderId="1" xfId="0" applyNumberFormat="1" applyFont="1" applyFill="1" applyBorder="1" applyAlignment="1">
      <x:alignment vertical="top" wrapText="1"/>
    </x:xf>
    <x:xf numFmtId="205" fontId="0" fillId="4" borderId="1" xfId="0" applyNumberFormat="1" applyFont="1" applyFill="1" applyBorder="1" applyAlignment="1">
      <x:alignment vertical="top" wrapText="1"/>
    </x:xf>
    <x:xf numFmtId="201" fontId="0" fillId="5" borderId="1" xfId="0" applyNumberFormat="1" applyFont="1" applyFill="1" applyBorder="1" applyAlignment="1">
      <x:alignment vertical="top" wrapText="1"/>
    </x:xf>
    <x:xf numFmtId="205" fontId="0" fillId="5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20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4d996602814b2f" /><Relationship Type="http://schemas.openxmlformats.org/officeDocument/2006/relationships/theme" Target="/xl/theme/theme1.xml" Id="R565578172b904641" /><Relationship Type="http://schemas.openxmlformats.org/officeDocument/2006/relationships/sharedStrings" Target="/xl/sharedStrings.xml" Id="R4a99d5edf3b34826" /><Relationship Type="http://schemas.openxmlformats.org/officeDocument/2006/relationships/worksheet" Target="/xl/worksheets/sheet1.xml" Id="Rd81a31b549fc4e86" /><Relationship Type="http://schemas.openxmlformats.org/officeDocument/2006/relationships/worksheet" Target="/xl/worksheets/sheet2.xml" Id="Rc84d67a4fbc749ac" /><Relationship Type="http://schemas.openxmlformats.org/officeDocument/2006/relationships/worksheet" Target="/xl/worksheets/sheet3.xml" Id="Rc68d81b22f4d462a" /><Relationship Type="http://schemas.openxmlformats.org/officeDocument/2006/relationships/worksheet" Target="/xl/worksheets/sheet4.xml" Id="R571a2572b3f24675" /><Relationship Type="http://schemas.openxmlformats.org/officeDocument/2006/relationships/worksheet" Target="/xl/worksheets/sheet5.xml" Id="Rfcd975b70fcb49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6" hidden="0" customWidth="1"/>
    <x:col min="3" max="3" width="12" hidden="0" customWidth="1"/>
    <x:col min="4" max="4" width="62" hidden="0" customWidth="1"/>
  </x:cols>
  <x:sheetData>
    <x:row r="1" ht="30" customHeight="1">
      <x:c r="A1" s="3" t="str">
        <x:v>EcoFlow Minimal Electrical Design — Control Summary</x:v>
      </x:c>
      <x:c r="B1" s="3"/>
      <x:c r="C1" s="3"/>
      <x:c r="D1" s="3"/>
    </x:row>
    <x:row r="2" ht="34" customHeight="1">
      <x:c r="A2" s="7" t="str">
        <x:v>Draft alternative for Design Authority review. Values update from the Loads, Solar &amp; Charging, BOM and Assumptions sheets.</x:v>
      </x:c>
      <x:c r="B2" s="7"/>
      <x:c r="C2" s="7"/>
      <x:c r="D2" s="7"/>
    </x:row>
    <x:row r="4">
      <x:c r="A4" s="35" t="str">
        <x:v>Control totals</x:v>
      </x:c>
      <x:c r="B4" s="35"/>
      <x:c r="C4" s="35"/>
      <x:c r="D4" s="35"/>
    </x:row>
    <x:row r="5" ht="34" customHeight="1">
      <x:c r="A5" s="11" t="str">
        <x:v>Metric</x:v>
      </x:c>
      <x:c r="B5" s="11" t="str">
        <x:v>Value</x:v>
      </x:c>
      <x:c r="C5" s="11" t="str">
        <x:v>Unit</x:v>
      </x:c>
      <x:c r="D5" s="11" t="str">
        <x:v>Interpretation</x:v>
      </x:c>
    </x:row>
    <x:row r="6">
      <x:c r="A6" s="14" t="str">
        <x:v>Load-side energy</x:v>
      </x:c>
      <x:c r="B6" s="27" t="n">
        <x:f>Loads!N12</x:f>
        <x:v>1730</x:v>
      </x:c>
      <x:c r="C6" s="14" t="str">
        <x:v>Wh/day</x:v>
      </x:c>
      <x:c r="D6" s="14" t="str">
        <x:v>Requested loads at appliance side</x:v>
      </x:c>
    </x:row>
    <x:row r="7">
      <x:c r="A7" s="14" t="str">
        <x:v>Battery/source-side energy</x:v>
      </x:c>
      <x:c r="B7" s="27" t="n">
        <x:f>Loads!O12</x:f>
        <x:v>1893.9367051168294</x:v>
      </x:c>
      <x:c r="C7" s="14" t="str">
        <x:v>Wh/day</x:v>
      </x:c>
      <x:c r="D7" s="14" t="str">
        <x:v>Includes conversion losses</x:v>
      </x:c>
    </x:row>
    <x:row r="8">
      <x:c r="A8" s="14" t="str">
        <x:v>Arithmetic continuous load</x:v>
      </x:c>
      <x:c r="B8" s="27" t="n">
        <x:f>Loads!I12</x:f>
        <x:v>922</x:v>
      </x:c>
      <x:c r="C8" s="14" t="str">
        <x:v>W</x:v>
      </x:c>
      <x:c r="D8" s="14" t="str">
        <x:v>Conservative arithmetic sum</x:v>
      </x:c>
    </x:row>
    <x:row r="9">
      <x:c r="A9" s="14" t="str">
        <x:v>Arithmetic peak upper bound</x:v>
      </x:c>
      <x:c r="B9" s="27" t="n">
        <x:f>Loads!J12</x:f>
        <x:v>972</x:v>
      </x:c>
      <x:c r="C9" s="14" t="str">
        <x:v>W</x:v>
      </x:c>
      <x:c r="D9" s="14" t="str">
        <x:v>Conservative arithmetic upper bound</x:v>
      </x:c>
    </x:row>
    <x:row r="10">
      <x:c r="A10" s="14" t="str">
        <x:v>Margin to Power Hub continuous rating</x:v>
      </x:c>
      <x:c r="B10" s="27" t="n">
        <x:f>Assumptions!B7-Loads!J12</x:f>
        <x:v>3028</x:v>
      </x:c>
      <x:c r="C10" s="14" t="str">
        <x:v>W</x:v>
      </x:c>
      <x:c r="D10" s="14" t="str">
        <x:v>4 kW continuous Power Hub reference</x:v>
      </x:c>
    </x:row>
    <x:row r="11">
      <x:c r="A11" s="14" t="str">
        <x:v>One-battery planning autonomy</x:v>
      </x:c>
      <x:c r="B11" s="27" t="n">
        <x:f>Assumptions!B4*Assumptions!B5/(Loads!O12*(1+Assumptions!B6))</x:f>
        <x:v>1.9660827912444236</x:v>
      </x:c>
      <x:c r="C11" s="14" t="str">
        <x:v>days</x:v>
      </x:c>
      <x:c r="D11" s="14" t="str">
        <x:v>80% usable energy and 10% contingency</x:v>
      </x:c>
    </x:row>
    <x:row r="12">
      <x:c r="A12" s="14" t="str">
        <x:v>Exact two-day nominal requirement</x:v>
      </x:c>
      <x:c r="B12" s="27" t="n">
        <x:f>Loads!O12*2*(1+Assumptions!B6)/Assumptions!B5</x:f>
        <x:v>5208.325939071281</x:v>
      </x:c>
      <x:c r="C12" s="14" t="str">
        <x:v>Wh</x:v>
      </x:c>
      <x:c r="D12" s="14" t="str">
        <x:v>Minimal 5.12 kWh battery is about 88 Wh short</x:v>
      </x:c>
    </x:row>
    <x:row r="13">
      <x:c r="A13" s="14" t="str">
        <x:v>Summer solar coverage</x:v>
      </x:c>
      <x:c r="B13" s="40" t="n">
        <x:f>'Solar &amp; Charging'!D11</x:f>
        <x:v>1.2936018365243465</x:v>
      </x:c>
      <x:c r="C13" s="14" t="str">
        <x:v>%</x:v>
      </x:c>
      <x:c r="D13" s="14" t="str">
        <x:v>Average favorable summer planning case</x:v>
      </x:c>
    </x:row>
    <x:row r="14">
      <x:c r="A14" s="31" t="str">
        <x:v>Shoulder solar coverage</x:v>
      </x:c>
      <x:c r="B14" s="33" t="n">
        <x:f>'Solar &amp; Charging'!D12</x:f>
        <x:v>0.7761611019146079</x:v>
      </x:c>
      <x:c r="C14" s="31" t="str">
        <x:v>%</x:v>
      </x:c>
      <x:c r="D14" s="31" t="str">
        <x:v>Shore or V2L support expected</x:v>
      </x:c>
    </x:row>
    <x:row r="15">
      <x:c r="A15" s="31" t="str">
        <x:v>Winter solar coverage</x:v>
      </x:c>
      <x:c r="B15" s="33" t="n">
        <x:f>'Solar &amp; Charging'!D13</x:f>
        <x:v>0.3880805509573039</x:v>
      </x:c>
      <x:c r="C15" s="31" t="str">
        <x:v>%</x:v>
      </x:c>
      <x:c r="D15" s="31" t="str">
        <x:v>Substantial shore or V2L support expected</x:v>
      </x:c>
    </x:row>
    <x:row r="16">
      <x:c r="A16" s="45" t="str">
        <x:v>Complete listed material mass</x:v>
      </x:c>
      <x:c r="B16" s="46" t="n">
        <x:f>BOM!N22</x:f>
        <x:v>154.35000000000002</x:v>
      </x:c>
      <x:c r="C16" s="45" t="str">
        <x:v>kg</x:v>
      </x:c>
      <x:c r="D16" s="45" t="str">
        <x:v>Includes EcoFlow system, loads and physical installation material</x:v>
      </x:c>
    </x:row>
    <x:row r="17">
      <x:c r="A17" s="14" t="str">
        <x:v>Roof material mass</x:v>
      </x:c>
      <x:c r="B17" s="27" t="n">
        <x:f>BOM!N4+BOM!N5</x:f>
        <x:v>47.2</x:v>
      </x:c>
      <x:c r="C17" s="14" t="str">
        <x:v>kg</x:v>
      </x:c>
      <x:c r="D17" s="14" t="str">
        <x:v>Panels plus mounting/entry allowance</x:v>
      </x:c>
    </x:row>
    <x:row r="18">
      <x:c r="A18" s="14" t="str">
        <x:v>Complete listed material estimate</x:v>
      </x:c>
      <x:c r="B18" s="29" t="n">
        <x:f>BOM!O22</x:f>
        <x:v>12089</x:v>
      </x:c>
      <x:c r="C18" s="14" t="str">
        <x:v>CHF</x:v>
      </x:c>
      <x:c r="D18" s="14" t="str">
        <x:v>Material only; no installation or certification</x:v>
      </x:c>
    </x:row>
    <x:row r="19">
      <x:c r="A19" s="14" t="str">
        <x:v>AC time to replace one design day</x:v>
      </x:c>
      <x:c r="B19" s="27" t="n">
        <x:f>'Solar &amp; Charging'!E18</x:f>
        <x:v>1.5249087802873023</x:v>
      </x:c>
      <x:c r="C19" s="14" t="str">
        <x:v>hours</x:v>
      </x:c>
      <x:c r="D19" s="14" t="str">
        <x:v>6 A AC input limit and 90% planning efficiency</x:v>
      </x:c>
    </x:row>
    <x:row r="22">
      <x:c r="A22" s="35" t="str">
        <x:v>Configuration and safety decisions</x:v>
      </x:c>
      <x:c r="B22" s="35"/>
      <x:c r="C22" s="35"/>
      <x:c r="D22" s="35"/>
    </x:row>
    <x:row r="23" ht="32" customHeight="1">
      <x:c r="A23" s="51" t="str">
        <x:v>• Four 175 W panels are two independent 2S strings, not one 4S string; one shaded/failed string does not suppress the other.</x:v>
      </x:c>
      <x:c r="B23" s="51"/>
      <x:c r="C23" s="51"/>
      <x:c r="D23" s="51"/>
    </x:row>
    <x:row r="24" ht="32" customHeight="1">
      <x:c r="A24" s="51" t="str">
        <x:v>• Shore and Renault 230 V V2L feed one AC input through a two-pole mechanically interlocked selector and are never paralleled.</x:v>
      </x:c>
      <x:c r="B24" s="51"/>
      <x:c r="C24" s="51"/>
      <x:c r="D24" s="51"/>
    </x:row>
    <x:row r="25" ht="32" customHeight="1">
      <x:c r="A25" s="51" t="str">
        <x:v>• Solar is primary, shore is secondary, Renault V2L is backup; the 12 V branch is only a conditional slow travel top-up.</x:v>
      </x:c>
      <x:c r="B25" s="51"/>
      <x:c r="C25" s="51"/>
      <x:c r="D25" s="51"/>
    </x:row>
    <x:row r="26" ht="32" customHeight="1">
      <x:c r="A26" s="51" t="str">
        <x:v>• No direct Renault high-voltage traction-battery connection is permitted.</x:v>
      </x:c>
      <x:c r="B26" s="51"/>
      <x:c r="C26" s="51"/>
      <x:c r="D26" s="51"/>
    </x:row>
    <x:row r="27" ht="32" customHeight="1">
      <x:c r="A27" s="51" t="str">
        <x:v>• EcoFlow does not supply every habitation load or mandatory integration device; identified third-party material is required.</x:v>
      </x:c>
      <x:c r="B27" s="51"/>
      <x:c r="C27" s="51"/>
      <x:c r="D27" s="51"/>
    </x:row>
  </x:sheetData>
  <x:mergeCells>
    <x:mergeCell ref="A1:D1"/>
    <x:mergeCell ref="A2:D2"/>
    <x:mergeCell ref="A4:D4"/>
    <x:mergeCell ref="A22:D22"/>
    <x:mergeCell ref="A23:D23"/>
    <x:mergeCell ref="A24:D24"/>
    <x:mergeCell ref="A25:D25"/>
    <x:mergeCell ref="A26:D26"/>
    <x:mergeCell ref="A27:D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6" hidden="0" customWidth="1"/>
    <x:col min="3" max="3" width="5.889999866485596" hidden="0" customWidth="1"/>
    <x:col min="4" max="4" width="6.329999923706055" hidden="0" customWidth="1"/>
    <x:col min="5" max="5" width="11.670000076293945" hidden="0" customWidth="1"/>
    <x:col min="6" max="6" width="11.220000267028809" hidden="0" customWidth="1"/>
    <x:col min="7" max="7" width="13.5600004196167" hidden="0" customWidth="1"/>
    <x:col min="8" max="8" width="16.219999313354492" hidden="0" customWidth="1"/>
    <x:col min="9" max="9" width="10.670000076293945" hidden="0" customWidth="1"/>
    <x:col min="10" max="10" width="6.110000133514404" hidden="0" customWidth="1"/>
    <x:col min="11" max="11" width="21.670000076293945" hidden="0" customWidth="1"/>
    <x:col min="12" max="12" width="24" hidden="0" customWidth="1"/>
    <x:col min="13" max="13" width="64" hidden="0" customWidth="1"/>
    <x:col min="14" max="14" width="10.779999732971191" hidden="0" customWidth="1"/>
    <x:col min="15" max="15" width="12.5600004196167" hidden="0" customWidth="1"/>
  </x:cols>
  <x:sheetData>
    <x:row r="1" ht="30" customHeight="1">
      <x:c r="A1" s="3" t="str">
        <x:v>EcoFlow Minimal Configuration — Daily Load Model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Blue cells are controlled inputs. Green columns are formulas. Source-side energy includes the stated conversion efficiency.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3" ht="34" customHeight="1">
      <x:c r="A3" s="11" t="str">
        <x:v>load_id</x:v>
      </x:c>
      <x:c r="B3" s="11" t="str">
        <x:v>name</x:v>
      </x:c>
      <x:c r="C3" s="11" t="str">
        <x:v>domain</x:v>
      </x:c>
      <x:c r="D3" s="11" t="str">
        <x:v>quantity</x:v>
      </x:c>
      <x:c r="E3" s="11" t="str">
        <x:v>rated_power_w</x:v>
      </x:c>
      <x:c r="F3" s="11" t="str">
        <x:v>hours_per_day</x:v>
      </x:c>
      <x:c r="G3" s="11" t="str">
        <x:v>daily_override_wh</x:v>
      </x:c>
      <x:c r="H3" s="11" t="str">
        <x:v>conversion_efficiency</x:v>
      </x:c>
      <x:c r="I3" s="11" t="str">
        <x:v>continuous_w</x:v>
      </x:c>
      <x:c r="J3" s="11" t="str">
        <x:v>peak_w</x:v>
      </x:c>
      <x:c r="K3" s="11" t="str">
        <x:v>certainty</x:v>
      </x:c>
      <x:c r="L3" s="11" t="str">
        <x:v>basis</x:v>
      </x:c>
      <x:c r="M3" s="11" t="str">
        <x:v>source_url</x:v>
      </x:c>
      <x:c r="N3" s="11" t="str">
        <x:v>daily_load_wh</x:v>
      </x:c>
      <x:c r="O3" s="11" t="str">
        <x:v>daily_source_wh</x:v>
      </x:c>
    </x:row>
    <x:row r="4">
      <x:c r="A4" s="15" t="str">
        <x:v>EF-LD-001</x:v>
      </x:c>
      <x:c r="B4" s="15" t="str">
        <x:v>EcoFlow GLACIER Classic 45 L compressor refrigerator</x:v>
      </x:c>
      <x:c r="C4" s="15" t="str">
        <x:v>12V</x:v>
      </x:c>
      <x:c r="D4" s="21" t="n">
        <x:v>1</x:v>
      </x:c>
      <x:c r="E4" s="21" t="n">
        <x:v>55</x:v>
      </x:c>
      <x:c r="F4" s="21" t="n">
        <x:v>0</x:v>
      </x:c>
      <x:c r="G4" s="21" t="n">
        <x:v>300</x:v>
      </x:c>
      <x:c r="H4" s="21" t="n">
        <x:v>0.92</x:v>
      </x:c>
      <x:c r="I4" s="21" t="n">
        <x:v>55</x:v>
      </x:c>
      <x:c r="J4" s="21" t="n">
        <x:v>100</x:v>
      </x:c>
      <x:c r="K4" s="15" t="str">
        <x:v>manufacturer-plus-allowance</x:v>
      </x:c>
      <x:c r="L4" s="15" t="str">
        <x:v>Manufacturer reports 190 Wh per 24 h at 25 C ambient and 4 C set point; 300 Wh/day is the hot-vehicle planning allowance</x:v>
      </x:c>
      <x:c r="M4" s="15" t="str">
        <x:v>https://ch.ecoflow.com/products/ecoflow-glacier-classic-45-liter-tragbare-kompressor-kuehlbox</x:v>
      </x:c>
      <x:c r="N4" s="23" t="n">
        <x:f>IF(G4&gt;0,G4,D4*E4*F4)</x:f>
        <x:v>300</x:v>
      </x:c>
      <x:c r="O4" s="23" t="n">
        <x:f>N4/H4</x:f>
        <x:v>326.0869565217391</x:v>
      </x:c>
    </x:row>
    <x:row r="5">
      <x:c r="A5" s="15" t="str">
        <x:v>EF-LD-002</x:v>
      </x:c>
      <x:c r="B5" s="15" t="str">
        <x:v>10 L electric boiler</x:v>
      </x:c>
      <x:c r="C5" s="15" t="str">
        <x:v>230V</x:v>
      </x:c>
      <x:c r="D5" s="21" t="n">
        <x:v>1</x:v>
      </x:c>
      <x:c r="E5" s="21" t="n">
        <x:v>500</x:v>
      </x:c>
      <x:c r="F5" s="21" t="n">
        <x:v>0</x:v>
      </x:c>
      <x:c r="G5" s="21" t="n">
        <x:v>600</x:v>
      </x:c>
      <x:c r="H5" s="21" t="n">
        <x:v>0.9</x:v>
      </x:c>
      <x:c r="I5" s="21" t="n">
        <x:v>500</x:v>
      </x:c>
      <x:c r="J5" s="21" t="n">
        <x:v>500</x:v>
      </x:c>
      <x:c r="K5" s="15" t="str">
        <x:v>engineering-estimate</x:v>
      </x:c>
      <x:c r="L5" s="15" t="str">
        <x:v>One complete 10 L heat from 15 C to 60 C per day at 87 percent heater/system efficiency; product not yet selected</x:v>
      </x:c>
      <x:c r="M5" s="15" t="str"/>
      <x:c r="N5" s="23" t="n">
        <x:f>IF(G5&gt;0,G5,D5*E5*F5)</x:f>
        <x:v>600</x:v>
      </x:c>
      <x:c r="O5" s="23" t="n">
        <x:f>N5/H5</x:f>
        <x:v>666.6666666666666</x:v>
      </x:c>
    </x:row>
    <x:row r="6">
      <x:c r="A6" s="15" t="str">
        <x:v>EF-LD-003</x:v>
      </x:c>
      <x:c r="B6" s="15" t="str">
        <x:v>USB-C LED lights</x:v>
      </x:c>
      <x:c r="C6" s="15" t="str">
        <x:v>12V</x:v>
      </x:c>
      <x:c r="D6" s="21" t="n">
        <x:v>6</x:v>
      </x:c>
      <x:c r="E6" s="21" t="n">
        <x:v>5</x:v>
      </x:c>
      <x:c r="F6" s="21" t="n">
        <x:v>4</x:v>
      </x:c>
      <x:c r="G6" s="21" t="n">
        <x:v>0</x:v>
      </x:c>
      <x:c r="H6" s="21" t="n">
        <x:v>0.92</x:v>
      </x:c>
      <x:c r="I6" s="21" t="n">
        <x:v>30</x:v>
      </x:c>
      <x:c r="J6" s="21" t="n">
        <x:v>30</x:v>
      </x:c>
      <x:c r="K6" s="15" t="str">
        <x:v>engineering-estimate</x:v>
      </x:c>
      <x:c r="L6" s="15" t="str">
        <x:v>Six 5 W lights used four hours per day; product not yet selected</x:v>
      </x:c>
      <x:c r="M6" s="15" t="str"/>
      <x:c r="N6" s="23" t="n">
        <x:f>IF(G6&gt;0,G6,D6*E6*F6)</x:f>
        <x:v>120</x:v>
      </x:c>
      <x:c r="O6" s="23" t="n">
        <x:f>N6/H6</x:f>
        <x:v>130.43478260869566</x:v>
      </x:c>
    </x:row>
    <x:row r="7">
      <x:c r="A7" s="15" t="str">
        <x:v>EF-LD-004</x:v>
      </x:c>
      <x:c r="B7" s="15" t="str">
        <x:v>Smartphone charging</x:v>
      </x:c>
      <x:c r="C7" s="15" t="str">
        <x:v>USB</x:v>
      </x:c>
      <x:c r="D7" s="21" t="n">
        <x:v>2</x:v>
      </x:c>
      <x:c r="E7" s="21" t="n">
        <x:v>30</x:v>
      </x:c>
      <x:c r="F7" s="21" t="n">
        <x:v>0</x:v>
      </x:c>
      <x:c r="G7" s="21" t="n">
        <x:v>50</x:v>
      </x:c>
      <x:c r="H7" s="21" t="n">
        <x:v>0.9</x:v>
      </x:c>
      <x:c r="I7" s="21" t="n">
        <x:v>60</x:v>
      </x:c>
      <x:c r="J7" s="21" t="n">
        <x:v>60</x:v>
      </x:c>
      <x:c r="K7" s="15" t="str">
        <x:v>engineering-estimate</x:v>
      </x:c>
      <x:c r="L7" s="15" t="str">
        <x:v>Two smartphones at 25 Wh/day each including battery charge-cycle allowance</x:v>
      </x:c>
      <x:c r="M7" s="15" t="str"/>
      <x:c r="N7" s="23" t="n">
        <x:f>IF(G7&gt;0,G7,D7*E7*F7)</x:f>
        <x:v>50</x:v>
      </x:c>
      <x:c r="O7" s="23" t="n">
        <x:f>N7/H7</x:f>
        <x:v>55.55555555555556</x:v>
      </x:c>
    </x:row>
    <x:row r="8">
      <x:c r="A8" s="15" t="str">
        <x:v>EF-LD-005</x:v>
      </x:c>
      <x:c r="B8" s="15" t="str">
        <x:v>Underfloor heater</x:v>
      </x:c>
      <x:c r="C8" s="15" t="str">
        <x:v>230V</x:v>
      </x:c>
      <x:c r="D8" s="21" t="n">
        <x:v>1</x:v>
      </x:c>
      <x:c r="E8" s="21" t="n">
        <x:v>100</x:v>
      </x:c>
      <x:c r="F8" s="21" t="n">
        <x:v>4</x:v>
      </x:c>
      <x:c r="G8" s="21" t="n">
        <x:v>0</x:v>
      </x:c>
      <x:c r="H8" s="21" t="n">
        <x:v>0.9</x:v>
      </x:c>
      <x:c r="I8" s="21" t="n">
        <x:v>100</x:v>
      </x:c>
      <x:c r="J8" s="21" t="n">
        <x:v>100</x:v>
      </x:c>
      <x:c r="K8" s="15" t="str">
        <x:v>user-requirement</x:v>
      </x:c>
      <x:c r="L8" s="15" t="str">
        <x:v>100 W for four hours per day</x:v>
      </x:c>
      <x:c r="M8" s="15" t="str"/>
      <x:c r="N8" s="23" t="n">
        <x:f>IF(G8&gt;0,G8,D8*E8*F8)</x:f>
        <x:v>400</x:v>
      </x:c>
      <x:c r="O8" s="23" t="n">
        <x:f>N8/H8</x:f>
        <x:v>444.44444444444446</x:v>
      </x:c>
    </x:row>
    <x:row r="9">
      <x:c r="A9" s="15" t="str">
        <x:v>EF-LD-006</x:v>
      </x:c>
      <x:c r="B9" s="15" t="str">
        <x:v>Electric blanket</x:v>
      </x:c>
      <x:c r="C9" s="15" t="str">
        <x:v>230V</x:v>
      </x:c>
      <x:c r="D9" s="21" t="n">
        <x:v>1</x:v>
      </x:c>
      <x:c r="E9" s="21" t="n">
        <x:v>100</x:v>
      </x:c>
      <x:c r="F9" s="21" t="n">
        <x:v>0.25</x:v>
      </x:c>
      <x:c r="G9" s="21" t="n">
        <x:v>0</x:v>
      </x:c>
      <x:c r="H9" s="21" t="n">
        <x:v>0.9</x:v>
      </x:c>
      <x:c r="I9" s="21" t="n">
        <x:v>100</x:v>
      </x:c>
      <x:c r="J9" s="21" t="n">
        <x:v>100</x:v>
      </x:c>
      <x:c r="K9" s="15" t="str">
        <x:v>user-requirement</x:v>
      </x:c>
      <x:c r="L9" s="15" t="str">
        <x:v>One 100 W blanket for 15 minutes per day</x:v>
      </x:c>
      <x:c r="M9" s="15" t="str"/>
      <x:c r="N9" s="23" t="n">
        <x:f>IF(G9&gt;0,G9,D9*E9*F9)</x:f>
        <x:v>25</x:v>
      </x:c>
      <x:c r="O9" s="23" t="n">
        <x:f>N9/H9</x:f>
        <x:v>27.77777777777778</x:v>
      </x:c>
    </x:row>
    <x:row r="10">
      <x:c r="A10" s="15" t="str">
        <x:v>EF-LD-007</x:v>
      </x:c>
      <x:c r="B10" s="15" t="str">
        <x:v>MacBook Air occasional charging</x:v>
      </x:c>
      <x:c r="C10" s="15" t="str">
        <x:v>USB</x:v>
      </x:c>
      <x:c r="D10" s="21" t="n">
        <x:v>1</x:v>
      </x:c>
      <x:c r="E10" s="21" t="n">
        <x:v>67</x:v>
      </x:c>
      <x:c r="F10" s="21" t="n">
        <x:v>0</x:v>
      </x:c>
      <x:c r="G10" s="21" t="n">
        <x:v>35</x:v>
      </x:c>
      <x:c r="H10" s="21" t="n">
        <x:v>0.9</x:v>
      </x:c>
      <x:c r="I10" s="21" t="n">
        <x:v>67</x:v>
      </x:c>
      <x:c r="J10" s="21" t="n">
        <x:v>67</x:v>
      </x:c>
      <x:c r="K10" s="15" t="str">
        <x:v>engineering-estimate</x:v>
      </x:c>
      <x:c r="L10" s="15" t="str">
        <x:v>Occasional use represented by 35 Wh/day planning average; existing charger retained</x:v>
      </x:c>
      <x:c r="M10" s="15" t="str"/>
      <x:c r="N10" s="23" t="n">
        <x:f>IF(G10&gt;0,G10,D10*E10*F10)</x:f>
        <x:v>35</x:v>
      </x:c>
      <x:c r="O10" s="23" t="n">
        <x:f>N10/H10</x:f>
        <x:v>38.888888888888886</x:v>
      </x:c>
    </x:row>
    <x:row r="11">
      <x:c r="A11" s="15" t="str">
        <x:v>EF-LD-008</x:v>
      </x:c>
      <x:c r="B11" s="15" t="str">
        <x:v>Power Hub controls and monitoring overhead</x:v>
      </x:c>
      <x:c r="C11" s="15" t="str">
        <x:v>48V</x:v>
      </x:c>
      <x:c r="D11" s="21" t="n">
        <x:v>1</x:v>
      </x:c>
      <x:c r="E11" s="21" t="n">
        <x:v>10</x:v>
      </x:c>
      <x:c r="F11" s="21" t="n">
        <x:v>0</x:v>
      </x:c>
      <x:c r="G11" s="21" t="n">
        <x:v>200</x:v>
      </x:c>
      <x:c r="H11" s="21" t="n">
        <x:v>0.98</x:v>
      </x:c>
      <x:c r="I11" s="21" t="n">
        <x:v>10</x:v>
      </x:c>
      <x:c r="J11" s="21" t="n">
        <x:v>15</x:v>
      </x:c>
      <x:c r="K11" s="15" t="str">
        <x:v>engineering-estimate</x:v>
      </x:c>
      <x:c r="L11" s="15" t="str">
        <x:v>Planning allowance because the published Power Hub manual does not quantify all installed idle losses</x:v>
      </x:c>
      <x:c r="M11" s="15" t="str"/>
      <x:c r="N11" s="23" t="n">
        <x:f>IF(G11&gt;0,G11,D11*E11*F11)</x:f>
        <x:v>200</x:v>
      </x:c>
      <x:c r="O11" s="23" t="n">
        <x:f>N11/H11</x:f>
        <x:v>204.08163265306123</x:v>
      </x:c>
    </x:row>
    <x:row r="12">
      <x:c r="A12" s="19" t="str">
        <x:v>TOTAL</x:v>
      </x:c>
      <x:c r="B12" s="19"/>
      <x:c r="C12" s="19"/>
      <x:c r="D12" s="22"/>
      <x:c r="E12" s="22"/>
      <x:c r="F12" s="22"/>
      <x:c r="G12" s="22"/>
      <x:c r="H12" s="22"/>
      <x:c r="I12" s="22" t="n">
        <x:f>SUM(I4:I11)</x:f>
        <x:v>922</x:v>
      </x:c>
      <x:c r="J12" s="22" t="n">
        <x:f>SUM(J4:J11)</x:f>
        <x:v>972</x:v>
      </x:c>
      <x:c r="K12" s="19"/>
      <x:c r="L12" s="19"/>
      <x:c r="M12" s="19"/>
      <x:c r="N12" s="24" t="n">
        <x:f>SUM(N4:N11)</x:f>
        <x:v>1730</x:v>
      </x:c>
      <x:c r="O12" s="24" t="n">
        <x:f>SUM(O4:O11)</x:f>
        <x:v>1893.9367051168294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7.33000183105469" hidden="0" customWidth="1"/>
    <x:col min="3" max="3" width="20" hidden="0" customWidth="1"/>
    <x:col min="4" max="4" width="60" hidden="0" customWidth="1"/>
    <x:col min="5" max="5" width="14.109999656677246" hidden="0" customWidth="1"/>
    <x:col min="6" max="6" width="8.890000343322754" hidden="0" customWidth="1"/>
  </x:cols>
  <x:sheetData>
    <x:row r="1" ht="30" customHeight="1">
      <x:c r="A1" s="3" t="str">
        <x:v>Solar Generation, Charging and Source Priority</x:v>
      </x:c>
      <x:c r="B1" s="3"/>
      <x:c r="C1" s="3"/>
      <x:c r="D1" s="3"/>
      <x:c r="E1" s="3"/>
      <x:c r="F1" s="3"/>
    </x:row>
    <x:row r="2" ht="34" customHeight="1">
      <x:c r="A2" s="7" t="str">
        <x:v>The array is two independent 2-panel series strings on separate MPPT inputs. Shore and Renault V2L share the AC input through a two-pole interlocked selector.</x:v>
      </x:c>
      <x:c r="B2" s="7"/>
      <x:c r="C2" s="7"/>
      <x:c r="D2" s="7"/>
      <x:c r="E2" s="7"/>
      <x:c r="F2" s="7"/>
    </x:row>
    <x:row r="4">
      <x:c r="A4" s="35" t="str">
        <x:v>Array design</x:v>
      </x:c>
      <x:c r="B4" s="35"/>
      <x:c r="C4" s="35"/>
      <x:c r="D4" s="35"/>
      <x:c r="E4" s="35"/>
      <x:c r="F4" s="35"/>
    </x:row>
    <x:row r="5">
      <x:c r="A5" s="17" t="str">
        <x:v>Array rating</x:v>
      </x:c>
      <x:c r="B5" s="36" t="n">
        <x:f>Assumptions!B8</x:f>
        <x:v>700</x:v>
      </x:c>
    </x:row>
    <x:row r="6">
      <x:c r="A6" s="17" t="str">
        <x:v>Electrical configuration</x:v>
      </x:c>
      <x:c r="B6" s="14" t="str">
        <x:v>2 × 2S on independent MPPT inputs</x:v>
      </x:c>
    </x:row>
    <x:row r="7">
      <x:c r="A7" s="17" t="str">
        <x:v>Approximate 2 × 2 roof envelope</x:v>
      </x:c>
      <x:c r="B7" s="14" t="str">
        <x:v>2352 × 1524 mm before gaps and exclusion zones</x:v>
      </x:c>
    </x:row>
    <x:row r="9">
      <x:c r="A9" s="35" t="str">
        <x:v>Seasonal solar balance</x:v>
      </x:c>
      <x:c r="B9" s="35"/>
      <x:c r="C9" s="35"/>
      <x:c r="D9" s="35"/>
      <x:c r="E9" s="35"/>
      <x:c r="F9" s="35"/>
    </x:row>
    <x:row r="10" ht="34" customHeight="1">
      <x:c r="A10" s="11" t="str">
        <x:v>Season</x:v>
      </x:c>
      <x:c r="B10" s="11" t="str">
        <x:v>Peak sun h/day</x:v>
      </x:c>
      <x:c r="C10" s="11" t="str">
        <x:v>Yield Wh/day</x:v>
      </x:c>
      <x:c r="D10" s="11" t="str">
        <x:v>Coverage</x:v>
      </x:c>
      <x:c r="E10" s="11" t="str">
        <x:v>Balance Wh/day</x:v>
      </x:c>
    </x:row>
    <x:row r="11">
      <x:c r="A11" s="16" t="str">
        <x:v>Summer</x:v>
      </x:c>
      <x:c r="B11" s="16" t="n">
        <x:f>Assumptions!B10</x:f>
        <x:v>5</x:v>
      </x:c>
      <x:c r="C11" s="23" t="n">
        <x:f>Assumptions!$B$8*B11*Assumptions!$B$9</x:f>
        <x:v>2450</x:v>
      </x:c>
      <x:c r="D11" s="40" t="n">
        <x:f>C11/Loads!$O$12</x:f>
        <x:v>1.2936018365243465</x:v>
      </x:c>
      <x:c r="E11" s="41" t="n">
        <x:f>C11-Loads!$O$12</x:f>
        <x:v>556.0632948831706</x:v>
      </x:c>
    </x:row>
    <x:row r="12">
      <x:c r="A12" s="31" t="str">
        <x:v>Shoulder</x:v>
      </x:c>
      <x:c r="B12" s="31" t="n">
        <x:f>Assumptions!B11</x:f>
        <x:v>3</x:v>
      </x:c>
      <x:c r="C12" s="42" t="n">
        <x:f>Assumptions!$B$8*B12*Assumptions!$B$9</x:f>
        <x:v>1470</x:v>
      </x:c>
      <x:c r="D12" s="33" t="n">
        <x:f>C12/Loads!$O$12</x:f>
        <x:v>0.7761611019146079</x:v>
      </x:c>
      <x:c r="E12" s="43" t="n">
        <x:f>C12-Loads!$O$12</x:f>
        <x:v>-423.93670511682944</x:v>
      </x:c>
    </x:row>
    <x:row r="13">
      <x:c r="A13" s="31" t="str">
        <x:v>Winter</x:v>
      </x:c>
      <x:c r="B13" s="31" t="n">
        <x:f>Assumptions!B12</x:f>
        <x:v>1.5</x:v>
      </x:c>
      <x:c r="C13" s="42" t="n">
        <x:f>Assumptions!$B$8*B13*Assumptions!$B$9</x:f>
        <x:v>735</x:v>
      </x:c>
      <x:c r="D13" s="33" t="n">
        <x:f>C13/Loads!$O$12</x:f>
        <x:v>0.3880805509573039</x:v>
      </x:c>
      <x:c r="E13" s="43" t="n">
        <x:f>C13-Loads!$O$12</x:f>
        <x:v>-1158.9367051168294</x:v>
      </x:c>
    </x:row>
    <x:row r="16">
      <x:c r="A16" s="35" t="str">
        <x:v>Charge-source performance</x:v>
      </x:c>
      <x:c r="B16" s="35"/>
      <x:c r="C16" s="35"/>
      <x:c r="D16" s="35"/>
      <x:c r="E16" s="35"/>
      <x:c r="F16" s="35"/>
    </x:row>
    <x:row r="17" ht="34" customHeight="1">
      <x:c r="A17" s="11" t="str">
        <x:v>Source</x:v>
      </x:c>
      <x:c r="B17" s="11" t="str">
        <x:v>Voltage V</x:v>
      </x:c>
      <x:c r="C17" s="11" t="str">
        <x:v>Current A</x:v>
      </x:c>
      <x:c r="D17" s="11" t="str">
        <x:v>Net charge W</x:v>
      </x:c>
      <x:c r="E17" s="11" t="str">
        <x:v>Replace one day h</x:v>
      </x:c>
      <x:c r="F17" s="11" t="str">
        <x:v>20–100% h</x:v>
      </x:c>
    </x:row>
    <x:row r="18">
      <x:c r="A18" s="14" t="str">
        <x:v>Shore or Renault V2L AC</x:v>
      </x:c>
      <x:c r="B18" s="44" t="n">
        <x:f>Assumptions!B13</x:f>
        <x:v>230</x:v>
      </x:c>
      <x:c r="C18" s="44" t="n">
        <x:f>Assumptions!B14</x:f>
        <x:v>6</x:v>
      </x:c>
      <x:c r="D18" s="44" t="n">
        <x:f>B18*C18*Assumptions!B15</x:f>
        <x:v>1242</x:v>
      </x:c>
      <x:c r="E18" s="44" t="n">
        <x:f>Loads!O12/D18</x:f>
        <x:v>1.5249087802873023</x:v>
      </x:c>
      <x:c r="F18" s="44" t="n">
        <x:f>Assumptions!B4*Assumptions!B5/D18</x:f>
        <x:v>3.2979066022544283</x:v>
      </x:c>
    </x:row>
    <x:row r="19">
      <x:c r="A19" s="31" t="str">
        <x:v>Conditional Renault 12 V travel branch</x:v>
      </x:c>
      <x:c r="B19" s="32" t="n">
        <x:f>Assumptions!B16</x:f>
        <x:v>13.8</x:v>
      </x:c>
      <x:c r="C19" s="32" t="n">
        <x:f>Assumptions!B17</x:f>
        <x:v>20</x:v>
      </x:c>
      <x:c r="D19" s="32" t="n">
        <x:f>B19*C19*Assumptions!B18</x:f>
        <x:v>234.6</x:v>
      </x:c>
      <x:c r="E19" s="32" t="n">
        <x:f>Loads!O12/D19</x:f>
        <x:v>8.073046483873954</x:v>
      </x:c>
      <x:c r="F19" s="32" t="n">
        <x:f>Assumptions!B4*Assumptions!B5/D19</x:f>
        <x:v>17.459505541346974</x:v>
      </x:c>
    </x:row>
    <x:row r="22">
      <x:c r="A22" s="35" t="str">
        <x:v>Operating priority and interlocks</x:v>
      </x:c>
      <x:c r="B22" s="35"/>
      <x:c r="C22" s="35"/>
      <x:c r="D22" s="35"/>
      <x:c r="E22" s="35"/>
      <x:c r="F22" s="35"/>
    </x:row>
    <x:row r="23" ht="34" customHeight="1">
      <x:c r="A23" s="11" t="str">
        <x:v>Priority</x:v>
      </x:c>
      <x:c r="B23" s="11" t="str">
        <x:v>Source</x:v>
      </x:c>
      <x:c r="C23" s="11" t="str">
        <x:v>EcoFlow input</x:v>
      </x:c>
      <x:c r="D23" s="11" t="str">
        <x:v>Control</x:v>
      </x:c>
    </x:row>
    <x:row r="24">
      <x:c r="A24" s="14" t="n">
        <x:v>1</x:v>
      </x:c>
      <x:c r="B24" s="14" t="str">
        <x:v>Solar</x:v>
      </x:c>
      <x:c r="C24" s="14" t="str">
        <x:v>PV/ALT inputs 1 and 2</x:v>
      </x:c>
      <x:c r="D24" s="14" t="str">
        <x:v>Automatic MPPT charging</x:v>
      </x:c>
    </x:row>
    <x:row r="25">
      <x:c r="A25" s="14" t="n">
        <x:v>2</x:v>
      </x:c>
      <x:c r="B25" s="14" t="str">
        <x:v>Shore line</x:v>
      </x:c>
      <x:c r="C25" s="14" t="str">
        <x:v>AC IN via EF-009 source A</x:v>
      </x:c>
      <x:c r="D25" s="14" t="str">
        <x:v>Normal secondary source</x:v>
      </x:c>
    </x:row>
    <x:row r="26">
      <x:c r="A26" s="14" t="n">
        <x:v>3</x:v>
      </x:c>
      <x:c r="B26" s="14" t="str">
        <x:v>Renault V2L 230 V</x:v>
      </x:c>
      <x:c r="C26" s="14" t="str">
        <x:v>AC IN via EF-009 source B</x:v>
      </x:c>
      <x:c r="D26" s="14" t="str">
        <x:v>Backup; manual two-pole changeover; never parallel with shore</x:v>
      </x:c>
    </x:row>
    <x:row r="27">
      <x:c r="A27" s="31" t="n">
        <x:v>4</x:v>
      </x:c>
      <x:c r="B27" s="31" t="str">
        <x:v>Renault auxiliary 12 V</x:v>
      </x:c>
      <x:c r="C27" s="31" t="str">
        <x:v>PV/ALT input 3</x:v>
      </x:c>
      <x:c r="D27" s="31" t="str">
        <x:v>Conditional travel top-up only after upfitter approval</x:v>
      </x:c>
    </x:row>
  </x:sheetData>
  <x:mergeCells>
    <x:mergeCell ref="A1:F1"/>
    <x:mergeCell ref="A2:F2"/>
    <x:mergeCell ref="A4:F4"/>
    <x:mergeCell ref="A9:F9"/>
    <x:mergeCell ref="A16:F16"/>
    <x:mergeCell ref="A22:F2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.329999923706055" hidden="0" customWidth="1"/>
    <x:col min="3" max="3" width="28" hidden="0" customWidth="1"/>
    <x:col min="4" max="4" width="28" hidden="0" customWidth="1"/>
    <x:col min="5" max="5" width="6.329999923706055" hidden="0" customWidth="1"/>
    <x:col min="6" max="6" width="10.4399995803833" hidden="0" customWidth="1"/>
    <x:col min="7" max="7" width="11.4399995803833" hidden="0" customWidth="1"/>
    <x:col min="8" max="8" width="10.670000076293945" hidden="0" customWidth="1"/>
    <x:col min="9" max="9" width="14.220000267028809" hidden="0" customWidth="1"/>
    <x:col min="10" max="10" width="17.559999465942383" hidden="0" customWidth="1"/>
    <x:col min="11" max="11" width="14.5600004196167" hidden="0" customWidth="1"/>
    <x:col min="12" max="12" width="56" hidden="0" customWidth="1"/>
    <x:col min="13" max="13" width="52" hidden="0" customWidth="1"/>
    <x:col min="14" max="14" width="11" hidden="0" customWidth="1"/>
    <x:col min="15" max="15" width="13.4399995803833" hidden="0" customWidth="1"/>
  </x:cols>
  <x:sheetData>
    <x:row r="1" ht="30" customHeight="1">
      <x:c r="A1" s="3" t="str">
        <x:v>EcoFlow Minimal Configuration — Material BOM, Mass and Price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Material only. Labour, engineering, testing, certification, delivery, price changes and procurement contingency are excluded.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3" ht="34" customHeight="1">
      <x:c r="A3" s="11" t="str">
        <x:v>component_id</x:v>
      </x:c>
      <x:c r="B3" s="11" t="str">
        <x:v>subsystem</x:v>
      </x:c>
      <x:c r="C3" s="11" t="str">
        <x:v>component</x:v>
      </x:c>
      <x:c r="D3" s="11" t="str">
        <x:v>candidate</x:v>
      </x:c>
      <x:c r="E3" s="11" t="str">
        <x:v>quantity</x:v>
      </x:c>
      <x:c r="F3" s="11" t="str">
        <x:v>unit_mass_kg</x:v>
      </x:c>
      <x:c r="G3" s="11" t="str">
        <x:v>mass_certainty</x:v>
      </x:c>
      <x:c r="H3" s="11" t="str">
        <x:v>unit_price_chf</x:v>
      </x:c>
      <x:c r="I3" s="11" t="str">
        <x:v>price_certainty</x:v>
      </x:c>
      <x:c r="J3" s="11" t="str">
        <x:v>location</x:v>
      </x:c>
      <x:c r="K3" s="11" t="str">
        <x:v>status</x:v>
      </x:c>
      <x:c r="L3" s="11" t="str">
        <x:v>basis</x:v>
      </x:c>
      <x:c r="M3" s="11" t="str">
        <x:v>source_url</x:v>
      </x:c>
      <x:c r="N3" s="11" t="str">
        <x:v>total_mass_kg</x:v>
      </x:c>
      <x:c r="O3" s="11" t="str">
        <x:v>total_material_chf</x:v>
      </x:c>
    </x:row>
    <x:row r="4">
      <x:c r="A4" s="15" t="str">
        <x:v>EF-001</x:v>
      </x:c>
      <x:c r="B4" s="15" t="str">
        <x:v>solar</x:v>
      </x:c>
      <x:c r="C4" s="15" t="str">
        <x:v>PV module</x:v>
      </x:c>
      <x:c r="D4" s="15" t="str">
        <x:v>EcoFlow 175 W rigid TOPCon panel</x:v>
      </x:c>
      <x:c r="E4" s="21" t="n">
        <x:v>4</x:v>
      </x:c>
      <x:c r="F4" s="21" t="n">
        <x:v>9.3</x:v>
      </x:c>
      <x:c r="G4" s="15" t="str">
        <x:v>manufacturer</x:v>
      </x:c>
      <x:c r="H4" s="25" t="n">
        <x:v>149</x:v>
      </x:c>
      <x:c r="I4" s="15" t="str">
        <x:v>current-retail</x:v>
      </x:c>
      <x:c r="J4" s="15" t="str">
        <x:v>roof</x:v>
      </x:c>
      <x:c r="K4" s="15" t="str">
        <x:v>packaging baseline</x:v>
      </x:c>
      <x:c r="L4" s="15" t="str">
        <x:v>700 Wp total; two independent 2S strings on separate Power Hub MPPT inputs</x:v>
      </x:c>
      <x:c r="M4" s="15" t="str">
        <x:v>https://ch.ecoflow.com/products/ecoflow-solarpanel-175-watt-starr-topcon</x:v>
      </x:c>
      <x:c r="N4" s="27" t="n">
        <x:f>E4*F4</x:f>
        <x:v>37.2</x:v>
      </x:c>
      <x:c r="O4" s="29" t="n">
        <x:f>E4*H4</x:f>
        <x:v>596</x:v>
      </x:c>
    </x:row>
    <x:row r="5">
      <x:c r="A5" s="15" t="str">
        <x:v>EF-002</x:v>
      </x:c>
      <x:c r="B5" s="15" t="str">
        <x:v>solar</x:v>
      </x:c>
      <x:c r="C5" s="15" t="str">
        <x:v>Roof mounting and entry</x:v>
      </x:c>
      <x:c r="D5" s="15" t="str">
        <x:v>Vehicle-approved rails brackets adhesive fasteners supports and sealed gland</x:v>
      </x:c>
      <x:c r="E5" s="21" t="n">
        <x:v>1</x:v>
      </x:c>
      <x:c r="F5" s="21" t="n">
        <x:v>10</x:v>
      </x:c>
      <x:c r="G5" s="15" t="str">
        <x:v>estimate</x:v>
      </x:c>
      <x:c r="H5" s="25" t="n">
        <x:v>600</x:v>
      </x:c>
      <x:c r="I5" s="15" t="str">
        <x:v>material-allowance</x:v>
      </x:c>
      <x:c r="J5" s="15" t="str">
        <x:v>roof</x:v>
      </x:c>
      <x:c r="K5" s="15" t="str">
        <x:v>design required</x:v>
      </x:c>
      <x:c r="L5" s="15" t="str">
        <x:v>Physical installation material only; roof survey structural approval and labour excluded</x:v>
      </x:c>
      <x:c r="M5" s="15" t="str"/>
      <x:c r="N5" s="27" t="n">
        <x:f>E5*F5</x:f>
        <x:v>10</x:v>
      </x:c>
      <x:c r="O5" s="29" t="n">
        <x:f>E5*H5</x:f>
        <x:v>600</x:v>
      </x:c>
    </x:row>
    <x:row r="6">
      <x:c r="A6" s="15" t="str">
        <x:v>EF-003</x:v>
      </x:c>
      <x:c r="B6" s="15" t="str">
        <x:v>power</x:v>
      </x:c>
      <x:c r="C6" s="15" t="str">
        <x:v>EcoFlow Power Hub</x:v>
      </x:c>
      <x:c r="D6" s="15" t="str">
        <x:v>EcoFlow Power Hub 5 kVA Get Set kit</x:v>
      </x:c>
      <x:c r="E6" s="21" t="n">
        <x:v>1</x:v>
      </x:c>
      <x:c r="F6" s="21" t="n">
        <x:v>15.5</x:v>
      </x:c>
      <x:c r="G6" s="15" t="str">
        <x:v>manufacturer</x:v>
      </x:c>
      <x:c r="H6" s="25" t="n">
        <x:v>2899</x:v>
      </x:c>
      <x:c r="I6" s="15" t="str">
        <x:v>current-retail</x:v>
      </x:c>
      <x:c r="J6" s="15" t="str">
        <x:v>technical bay</x:v>
      </x:c>
      <x:c r="K6" s="15" t="str">
        <x:v>packaging baseline</x:v>
      </x:c>
      <x:c r="L6" s="15" t="str">
        <x:v>4000 W continuous 230 V output; integrated MPPT inverter charger and DC conversion</x:v>
      </x:c>
      <x:c r="M6" s="15" t="str">
        <x:v>https://ch.ecoflow.com/products/ecoflow-power-kits-get-set-kit-5kva</x:v>
      </x:c>
      <x:c r="N6" s="27" t="n">
        <x:f>E6*F6</x:f>
        <x:v>15.5</x:v>
      </x:c>
      <x:c r="O6" s="29" t="n">
        <x:f>E6*H6</x:f>
        <x:v>2899</x:v>
      </x:c>
    </x:row>
    <x:row r="7">
      <x:c r="A7" s="15" t="str">
        <x:v>EF-004</x:v>
      </x:c>
      <x:c r="B7" s="15" t="str">
        <x:v>storage</x:v>
      </x:c>
      <x:c r="C7" s="15" t="str">
        <x:v>EcoFlow LFP battery</x:v>
      </x:c>
      <x:c r="D7" s="15" t="str">
        <x:v>EcoFlow 5 kWh LFP battery</x:v>
      </x:c>
      <x:c r="E7" s="21" t="n">
        <x:v>1</x:v>
      </x:c>
      <x:c r="F7" s="21" t="n">
        <x:v>40.6</x:v>
      </x:c>
      <x:c r="G7" s="15" t="str">
        <x:v>manufacturer</x:v>
      </x:c>
      <x:c r="H7" s="25" t="n">
        <x:v>3799</x:v>
      </x:c>
      <x:c r="I7" s="15" t="str">
        <x:v>current-retail</x:v>
      </x:c>
      <x:c r="J7" s="15" t="str">
        <x:v>technical bay</x:v>
      </x:c>
      <x:c r="K7" s="15" t="str">
        <x:v>packaging baseline</x:v>
      </x:c>
      <x:c r="L7" s="15" t="str">
        <x:v>5120 Wh nominal; one-battery minimal configuration</x:v>
      </x:c>
      <x:c r="M7" s="15" t="str">
        <x:v>https://ch.ecoflow.com/products/lfp-batterie-5kwh</x:v>
      </x:c>
      <x:c r="N7" s="27" t="n">
        <x:f>E7*F7</x:f>
        <x:v>40.6</x:v>
      </x:c>
      <x:c r="O7" s="29" t="n">
        <x:f>E7*H7</x:f>
        <x:v>3799</x:v>
      </x:c>
    </x:row>
    <x:row r="8">
      <x:c r="A8" s="15" t="str">
        <x:v>EF-005</x:v>
      </x:c>
      <x:c r="B8" s="15" t="str">
        <x:v>storage</x:v>
      </x:c>
      <x:c r="C8" s="15" t="str">
        <x:v>EcoFlow battery bracket</x:v>
      </x:c>
      <x:c r="D8" s="15" t="str">
        <x:v>EcoFlow Power Kits 5 kWh battery mounting bracket</x:v>
      </x:c>
      <x:c r="E8" s="21" t="n">
        <x:v>1</x:v>
      </x:c>
      <x:c r="F8" s="21" t="n">
        <x:v>1</x:v>
      </x:c>
      <x:c r="G8" s="15" t="str">
        <x:v>estimate</x:v>
      </x:c>
      <x:c r="H8" s="25" t="n">
        <x:v>49</x:v>
      </x:c>
      <x:c r="I8" s="15" t="str">
        <x:v>current-retail</x:v>
      </x:c>
      <x:c r="J8" s="15" t="str">
        <x:v>technical bay</x:v>
      </x:c>
      <x:c r="K8" s="15" t="str">
        <x:v>design required</x:v>
      </x:c>
      <x:c r="L8" s="15" t="str">
        <x:v>Mass allowance pending configuration-specific manufacturer data</x:v>
      </x:c>
      <x:c r="M8" s="15" t="str">
        <x:v>https://ch.ecoflow.com/products/lfp-batterie-5kwh</x:v>
      </x:c>
      <x:c r="N8" s="27" t="n">
        <x:f>E8*F8</x:f>
        <x:v>1</x:v>
      </x:c>
      <x:c r="O8" s="29" t="n">
        <x:f>E8*H8</x:f>
        <x:v>49</x:v>
      </x:c>
    </x:row>
    <x:row r="9">
      <x:c r="A9" s="15" t="str">
        <x:v>EF-006</x:v>
      </x:c>
      <x:c r="B9" s="15" t="str">
        <x:v>distribution</x:v>
      </x:c>
      <x:c r="C9" s="15" t="str">
        <x:v>EcoFlow AC/DC distribution</x:v>
      </x:c>
      <x:c r="D9" s="15" t="str">
        <x:v>EcoFlow Smart AC/DC Distribution Panel</x:v>
      </x:c>
      <x:c r="E9" s="21" t="n">
        <x:v>1</x:v>
      </x:c>
      <x:c r="F9" s="21" t="n">
        <x:v>4</x:v>
      </x:c>
      <x:c r="G9" s="15" t="str">
        <x:v>estimate</x:v>
      </x:c>
      <x:c r="H9" s="25" t="n">
        <x:v>599</x:v>
      </x:c>
      <x:c r="I9" s="15" t="str">
        <x:v>current-retail</x:v>
      </x:c>
      <x:c r="J9" s="15" t="str">
        <x:v>technical bay</x:v>
      </x:c>
      <x:c r="K9" s="15" t="str">
        <x:v>packaging baseline</x:v>
      </x:c>
      <x:c r="L9" s="15" t="str">
        <x:v>Branch distribution and monitoring; final protective-device coordination remains required</x:v>
      </x:c>
      <x:c r="M9" s="15" t="str">
        <x:v>https://ch.ecoflow.com/products/acdc-verteilerkasten</x:v>
      </x:c>
      <x:c r="N9" s="27" t="n">
        <x:f>E9*F9</x:f>
        <x:v>4</x:v>
      </x:c>
      <x:c r="O9" s="29" t="n">
        <x:f>E9*H9</x:f>
        <x:v>599</x:v>
      </x:c>
    </x:row>
    <x:row r="10">
      <x:c r="A10" s="15" t="str">
        <x:v>EF-007</x:v>
      </x:c>
      <x:c r="B10" s="15" t="str">
        <x:v>monitoring</x:v>
      </x:c>
      <x:c r="C10" s="15" t="str">
        <x:v>EcoFlow touchscreen</x:v>
      </x:c>
      <x:c r="D10" s="15" t="str">
        <x:v>EcoFlow Power Kits touchscreen monitor</x:v>
      </x:c>
      <x:c r="E10" s="21" t="n">
        <x:v>1</x:v>
      </x:c>
      <x:c r="F10" s="21" t="n">
        <x:v>0.45</x:v>
      </x:c>
      <x:c r="G10" s="15" t="str">
        <x:v>manufacturer</x:v>
      </x:c>
      <x:c r="H10" s="25" t="n">
        <x:v>349</x:v>
      </x:c>
      <x:c r="I10" s="15" t="str">
        <x:v>current-retail</x:v>
      </x:c>
      <x:c r="J10" s="15" t="str">
        <x:v>habitation HMI</x:v>
      </x:c>
      <x:c r="K10" s="15" t="str">
        <x:v>packaging baseline</x:v>
      </x:c>
      <x:c r="L10" s="15" t="str">
        <x:v>Local control and system monitoring</x:v>
      </x:c>
      <x:c r="M10" s="15" t="str">
        <x:v>https://ch.ecoflow.com/fr/products/touch-screen-monitor</x:v>
      </x:c>
      <x:c r="N10" s="27" t="n">
        <x:f>E10*F10</x:f>
        <x:v>0.45</x:v>
      </x:c>
      <x:c r="O10" s="29" t="n">
        <x:f>E10*H10</x:f>
        <x:v>349</x:v>
      </x:c>
    </x:row>
    <x:row r="11">
      <x:c r="A11" s="15" t="str">
        <x:v>EF-008</x:v>
      </x:c>
      <x:c r="B11" s="15" t="str">
        <x:v>solar</x:v>
      </x:c>
      <x:c r="C11" s="15" t="str">
        <x:v>EcoFlow PV input cable</x:v>
      </x:c>
      <x:c r="D11" s="15" t="str">
        <x:v>Second EcoFlow Power Kits 5 kVA 6 m PV input cable</x:v>
      </x:c>
      <x:c r="E11" s="21" t="n">
        <x:v>1</x:v>
      </x:c>
      <x:c r="F11" s="21" t="n">
        <x:v>1</x:v>
      </x:c>
      <x:c r="G11" s="15" t="str">
        <x:v>estimate</x:v>
      </x:c>
      <x:c r="H11" s="25" t="n">
        <x:v>89</x:v>
      </x:c>
      <x:c r="I11" s="15" t="str">
        <x:v>current-retail</x:v>
      </x:c>
      <x:c r="J11" s="15" t="str">
        <x:v>roof to technical bay</x:v>
      </x:c>
      <x:c r="K11" s="15" t="str">
        <x:v>design required</x:v>
      </x:c>
      <x:c r="L11" s="15" t="str">
        <x:v>The Power Hub kit includes one cable; a second cable enables two independent MPPT strings</x:v>
      </x:c>
      <x:c r="M11" s="15" t="str">
        <x:v>https://ch.ecoflow.com/products/ecoflow-power-kits-5kva-pv-input-anschlusskabel-600-cm</x:v>
      </x:c>
      <x:c r="N11" s="27" t="n">
        <x:f>E11*F11</x:f>
        <x:v>1</x:v>
      </x:c>
      <x:c r="O11" s="29" t="n">
        <x:f>E11*H11</x:f>
        <x:v>89</x:v>
      </x:c>
    </x:row>
    <x:row r="12">
      <x:c r="A12" s="15" t="str">
        <x:v>EF-009</x:v>
      </x:c>
      <x:c r="B12" s="15" t="str">
        <x:v>ac interface</x:v>
      </x:c>
      <x:c r="C12" s="15" t="str">
        <x:v>Shore and vehicle AC source interface</x:v>
      </x:c>
      <x:c r="D12" s="15" t="str">
        <x:v>Two-pole mechanically interlocked source selector RCD MCB shore inlet vehicle inlet and enclosure</x:v>
      </x:c>
      <x:c r="E12" s="21" t="n">
        <x:v>1</x:v>
      </x:c>
      <x:c r="F12" s="21" t="n">
        <x:v>4</x:v>
      </x:c>
      <x:c r="G12" s="15" t="str">
        <x:v>estimate</x:v>
      </x:c>
      <x:c r="H12" s="25" t="n">
        <x:v>500</x:v>
      </x:c>
      <x:c r="I12" s="15" t="str">
        <x:v>material-allowance</x:v>
      </x:c>
      <x:c r="J12" s="15" t="str">
        <x:v>distributed</x:v>
      </x:c>
      <x:c r="K12" s="15" t="str">
        <x:v>design required</x:v>
      </x:c>
      <x:c r="L12" s="15" t="str">
        <x:v>Mandatory third-party material; shore and Renault V2L must never be paralleled; labour excluded</x:v>
      </x:c>
      <x:c r="M12" s="15" t="str"/>
      <x:c r="N12" s="27" t="n">
        <x:f>E12*F12</x:f>
        <x:v>4</x:v>
      </x:c>
      <x:c r="O12" s="29" t="n">
        <x:f>E12*H12</x:f>
        <x:v>500</x:v>
      </x:c>
    </x:row>
    <x:row r="13">
      <x:c r="A13" s="15" t="str">
        <x:v>EF-010</x:v>
      </x:c>
      <x:c r="B13" s="15" t="str">
        <x:v>harness</x:v>
      </x:c>
      <x:c r="C13" s="15" t="str">
        <x:v>Power and branch harnesses</x:v>
      </x:c>
      <x:c r="D13" s="15" t="str">
        <x:v>AC and DC cables fuses connectors supports glands and labels</x:v>
      </x:c>
      <x:c r="E13" s="21" t="n">
        <x:v>1</x:v>
      </x:c>
      <x:c r="F13" s="21" t="n">
        <x:v>8</x:v>
      </x:c>
      <x:c r="G13" s="15" t="str">
        <x:v>estimate</x:v>
      </x:c>
      <x:c r="H13" s="25" t="n">
        <x:v>600</x:v>
      </x:c>
      <x:c r="I13" s="15" t="str">
        <x:v>material-allowance</x:v>
      </x:c>
      <x:c r="J13" s="15" t="str">
        <x:v>distributed</x:v>
      </x:c>
      <x:c r="K13" s="15" t="str">
        <x:v>design required</x:v>
      </x:c>
      <x:c r="L13" s="15" t="str">
        <x:v>Mandatory third-party physical material; replace with measured cable schedule before build release</x:v>
      </x:c>
      <x:c r="M13" s="15" t="str"/>
      <x:c r="N13" s="27" t="n">
        <x:f>E13*F13</x:f>
        <x:v>8</x:v>
      </x:c>
      <x:c r="O13" s="29" t="n">
        <x:f>E13*H13</x:f>
        <x:v>600</x:v>
      </x:c>
    </x:row>
    <x:row r="14">
      <x:c r="A14" s="15" t="str">
        <x:v>EF-011</x:v>
      </x:c>
      <x:c r="B14" s="15" t="str">
        <x:v>load</x:v>
      </x:c>
      <x:c r="C14" s="15" t="str">
        <x:v>EcoFlow refrigerator</x:v>
      </x:c>
      <x:c r="D14" s="15" t="str">
        <x:v>EcoFlow GLACIER Classic 45 L compressor refrigerator</x:v>
      </x:c>
      <x:c r="E14" s="21" t="n">
        <x:v>1</x:v>
      </x:c>
      <x:c r="F14" s="21" t="n">
        <x:v>22.3</x:v>
      </x:c>
      <x:c r="G14" s="15" t="str">
        <x:v>manufacturer</x:v>
      </x:c>
      <x:c r="H14" s="25" t="n">
        <x:v>749</x:v>
      </x:c>
      <x:c r="I14" s="15" t="str">
        <x:v>current-retail</x:v>
      </x:c>
      <x:c r="J14" s="15" t="str">
        <x:v>galley</x:v>
      </x:c>
      <x:c r="K14" s="15" t="str">
        <x:v>packaging baseline</x:v>
      </x:c>
      <x:c r="L14" s="15" t="str">
        <x:v>Closest current EcoFlow model to the requested approximately 40 L refrigerator</x:v>
      </x:c>
      <x:c r="M14" s="15" t="str">
        <x:v>https://ch.ecoflow.com/products/ecoflow-glacier-classic-45-liter-tragbare-kompressor-kuehlbox</x:v>
      </x:c>
      <x:c r="N14" s="27" t="n">
        <x:f>E14*F14</x:f>
        <x:v>22.3</x:v>
      </x:c>
      <x:c r="O14" s="29" t="n">
        <x:f>E14*H14</x:f>
        <x:v>749</x:v>
      </x:c>
    </x:row>
    <x:row r="15">
      <x:c r="A15" s="15" t="str">
        <x:v>EF-012</x:v>
      </x:c>
      <x:c r="B15" s="15" t="str">
        <x:v>load</x:v>
      </x:c>
      <x:c r="C15" s="15" t="str">
        <x:v>10 L boiler</x:v>
      </x:c>
      <x:c r="D15" s="15" t="str">
        <x:v>10 L 500 W electric boiler with thermostat and relief hardware</x:v>
      </x:c>
      <x:c r="E15" s="21" t="n">
        <x:v>1</x:v>
      </x:c>
      <x:c r="F15" s="21" t="n">
        <x:v>3</x:v>
      </x:c>
      <x:c r="G15" s="15" t="str">
        <x:v>estimate</x:v>
      </x:c>
      <x:c r="H15" s="25" t="n">
        <x:v>450</x:v>
      </x:c>
      <x:c r="I15" s="15" t="str">
        <x:v>material-allowance</x:v>
      </x:c>
      <x:c r="J15" s="15" t="str">
        <x:v>water-service area</x:v>
      </x:c>
      <x:c r="K15" s="15" t="str">
        <x:v>selection open</x:v>
      </x:c>
      <x:c r="L15" s="15" t="str">
        <x:v>EcoFlow does not offer the required fixed 10 L boiler; third-party product required</x:v>
      </x:c>
      <x:c r="M15" s="15" t="str"/>
      <x:c r="N15" s="27" t="n">
        <x:f>E15*F15</x:f>
        <x:v>3</x:v>
      </x:c>
      <x:c r="O15" s="29" t="n">
        <x:f>E15*H15</x:f>
        <x:v>450</x:v>
      </x:c>
    </x:row>
    <x:row r="16">
      <x:c r="A16" s="15" t="str">
        <x:v>EF-013</x:v>
      </x:c>
      <x:c r="B16" s="15" t="str">
        <x:v>load</x:v>
      </x:c>
      <x:c r="C16" s="15" t="str">
        <x:v>USB-C lighting</x:v>
      </x:c>
      <x:c r="D16" s="15" t="str">
        <x:v>Six 5 W USB-C LED lights and compatible driver or outlets</x:v>
      </x:c>
      <x:c r="E16" s="21" t="n">
        <x:v>1</x:v>
      </x:c>
      <x:c r="F16" s="21" t="n">
        <x:v>1</x:v>
      </x:c>
      <x:c r="G16" s="15" t="str">
        <x:v>estimate</x:v>
      </x:c>
      <x:c r="H16" s="25" t="n">
        <x:v>180</x:v>
      </x:c>
      <x:c r="I16" s="15" t="str">
        <x:v>material-allowance</x:v>
      </x:c>
      <x:c r="J16" s="15" t="str">
        <x:v>habitation</x:v>
      </x:c>
      <x:c r="K16" s="15" t="str">
        <x:v>selection open</x:v>
      </x:c>
      <x:c r="L16" s="15" t="str">
        <x:v>EcoFlow does not offer the required installed lighting set; third-party product required</x:v>
      </x:c>
      <x:c r="M16" s="15" t="str"/>
      <x:c r="N16" s="27" t="n">
        <x:f>E16*F16</x:f>
        <x:v>1</x:v>
      </x:c>
      <x:c r="O16" s="29" t="n">
        <x:f>E16*H16</x:f>
        <x:v>180</x:v>
      </x:c>
    </x:row>
    <x:row r="17">
      <x:c r="A17" s="15" t="str">
        <x:v>EF-014</x:v>
      </x:c>
      <x:c r="B17" s="15" t="str">
        <x:v>load</x:v>
      </x:c>
      <x:c r="C17" s="15" t="str">
        <x:v>USB-C charging</x:v>
      </x:c>
      <x:c r="D17" s="15" t="str">
        <x:v>USB-C PD outlets cables and branch protection</x:v>
      </x:c>
      <x:c r="E17" s="21" t="n">
        <x:v>1</x:v>
      </x:c>
      <x:c r="F17" s="21" t="n">
        <x:v>0.5</x:v>
      </x:c>
      <x:c r="G17" s="15" t="str">
        <x:v>estimate</x:v>
      </x:c>
      <x:c r="H17" s="25" t="n">
        <x:v>100</x:v>
      </x:c>
      <x:c r="I17" s="15" t="str">
        <x:v>material-allowance</x:v>
      </x:c>
      <x:c r="J17" s="15" t="str">
        <x:v>habitation</x:v>
      </x:c>
      <x:c r="K17" s="15" t="str">
        <x:v>selection open</x:v>
      </x:c>
      <x:c r="L17" s="15" t="str">
        <x:v>Supports two smartphones and occasional MacBook Air charging</x:v>
      </x:c>
      <x:c r="M17" s="15" t="str"/>
      <x:c r="N17" s="27" t="n">
        <x:f>E17*F17</x:f>
        <x:v>0.5</x:v>
      </x:c>
      <x:c r="O17" s="29" t="n">
        <x:f>E17*H17</x:f>
        <x:v>100</x:v>
      </x:c>
    </x:row>
    <x:row r="18">
      <x:c r="A18" s="15" t="str">
        <x:v>EF-015</x:v>
      </x:c>
      <x:c r="B18" s="15" t="str">
        <x:v>load</x:v>
      </x:c>
      <x:c r="C18" s="15" t="str">
        <x:v>Underfloor heater</x:v>
      </x:c>
      <x:c r="D18" s="15" t="str">
        <x:v>100 W underfloor heating mat thermostat and branch protection</x:v>
      </x:c>
      <x:c r="E18" s="21" t="n">
        <x:v>1</x:v>
      </x:c>
      <x:c r="F18" s="21" t="n">
        <x:v>2</x:v>
      </x:c>
      <x:c r="G18" s="15" t="str">
        <x:v>estimate</x:v>
      </x:c>
      <x:c r="H18" s="25" t="n">
        <x:v>180</x:v>
      </x:c>
      <x:c r="I18" s="15" t="str">
        <x:v>material-allowance</x:v>
      </x:c>
      <x:c r="J18" s="15" t="str">
        <x:v>floor</x:v>
      </x:c>
      <x:c r="K18" s="15" t="str">
        <x:v>selection open</x:v>
      </x:c>
      <x:c r="L18" s="15" t="str">
        <x:v>EcoFlow does not offer the required installed floor-heating system; third-party product required</x:v>
      </x:c>
      <x:c r="M18" s="15" t="str"/>
      <x:c r="N18" s="27" t="n">
        <x:f>E18*F18</x:f>
        <x:v>2</x:v>
      </x:c>
      <x:c r="O18" s="29" t="n">
        <x:f>E18*H18</x:f>
        <x:v>180</x:v>
      </x:c>
    </x:row>
    <x:row r="19">
      <x:c r="A19" s="15" t="str">
        <x:v>EF-016</x:v>
      </x:c>
      <x:c r="B19" s="15" t="str">
        <x:v>load</x:v>
      </x:c>
      <x:c r="C19" s="15" t="str">
        <x:v>Electric blanket</x:v>
      </x:c>
      <x:c r="D19" s="15" t="str">
        <x:v>100 W electric blanket</x:v>
      </x:c>
      <x:c r="E19" s="21" t="n">
        <x:v>1</x:v>
      </x:c>
      <x:c r="F19" s="21" t="n">
        <x:v>1.5</x:v>
      </x:c>
      <x:c r="G19" s="15" t="str">
        <x:v>estimate</x:v>
      </x:c>
      <x:c r="H19" s="25" t="n">
        <x:v>100</x:v>
      </x:c>
      <x:c r="I19" s="15" t="str">
        <x:v>material-allowance</x:v>
      </x:c>
      <x:c r="J19" s="15" t="str">
        <x:v>bed</x:v>
      </x:c>
      <x:c r="K19" s="15" t="str">
        <x:v>selection open</x:v>
      </x:c>
      <x:c r="L19" s="15" t="str">
        <x:v>EcoFlow does not offer the required blanket; third-party product required</x:v>
      </x:c>
      <x:c r="M19" s="15" t="str"/>
      <x:c r="N19" s="27" t="n">
        <x:f>E19*F19</x:f>
        <x:v>1.5</x:v>
      </x:c>
      <x:c r="O19" s="29" t="n">
        <x:f>E19*H19</x:f>
        <x:v>100</x:v>
      </x:c>
    </x:row>
    <x:row r="20">
      <x:c r="A20" s="15" t="str">
        <x:v>EF-017</x:v>
      </x:c>
      <x:c r="B20" s="15" t="str">
        <x:v>load</x:v>
      </x:c>
      <x:c r="C20" s="15" t="str">
        <x:v>MacBook Air charger</x:v>
      </x:c>
      <x:c r="D20" s="15" t="str">
        <x:v>Existing Apple USB-C charger</x:v>
      </x:c>
      <x:c r="E20" s="21" t="n">
        <x:v>1</x:v>
      </x:c>
      <x:c r="F20" s="21" t="n">
        <x:v>0.3</x:v>
      </x:c>
      <x:c r="G20" s="15" t="str">
        <x:v>estimate</x:v>
      </x:c>
      <x:c r="H20" s="25" t="n">
        <x:v>0</x:v>
      </x:c>
      <x:c r="I20" s="15" t="str">
        <x:v>user-owned</x:v>
      </x:c>
      <x:c r="J20" s="15" t="str">
        <x:v>habitation</x:v>
      </x:c>
      <x:c r="K20" s="15" t="str">
        <x:v>existing</x:v>
      </x:c>
      <x:c r="L20" s="15" t="str">
        <x:v>No new material purchase assumed</x:v>
      </x:c>
      <x:c r="M20" s="15" t="str"/>
      <x:c r="N20" s="27" t="n">
        <x:f>E20*F20</x:f>
        <x:v>0.3</x:v>
      </x:c>
      <x:c r="O20" s="29" t="n">
        <x:f>E20*H20</x:f>
        <x:v>0</x:v>
      </x:c>
    </x:row>
    <x:row r="21">
      <x:c r="A21" s="15" t="str">
        <x:v>EF-018</x:v>
      </x:c>
      <x:c r="B21" s="15" t="str">
        <x:v>vehicle interface</x:v>
      </x:c>
      <x:c r="C21" s="15" t="str">
        <x:v>Conditional 12 V travel charging branch</x:v>
      </x:c>
      <x:c r="D21" s="15" t="str">
        <x:v>EcoFlow 5 kVA alternator input cable protected at 20 A maximum</x:v>
      </x:c>
      <x:c r="E21" s="21" t="n">
        <x:v>1</x:v>
      </x:c>
      <x:c r="F21" s="21" t="n">
        <x:v>2</x:v>
      </x:c>
      <x:c r="G21" s="15" t="str">
        <x:v>estimate</x:v>
      </x:c>
      <x:c r="H21" s="25" t="n">
        <x:v>250</x:v>
      </x:c>
      <x:c r="I21" s="15" t="str">
        <x:v>material-allowance</x:v>
      </x:c>
      <x:c r="J21" s="15" t="str">
        <x:v>vehicle to technical bay</x:v>
      </x:c>
      <x:c r="K21" s="15" t="str">
        <x:v>conditional</x:v>
      </x:c>
      <x:c r="L21" s="15" t="str">
        <x:v>Starter-battery/DC-DC source only after Renault upfitter approval of current limit wake/sleep and connection point; no HV connection</x:v>
      </x:c>
      <x:c r="M21" s="15" t="str"/>
      <x:c r="N21" s="27" t="n">
        <x:f>E21*F21</x:f>
        <x:v>2</x:v>
      </x:c>
      <x:c r="O21" s="29" t="n">
        <x:f>E21*H21</x:f>
        <x:v>250</x:v>
      </x:c>
    </x:row>
    <x:row r="22">
      <x:c r="A22" s="19" t="str">
        <x:v>TOTAL</x:v>
      </x:c>
      <x:c r="B22" s="19"/>
      <x:c r="C22" s="19"/>
      <x:c r="D22" s="19"/>
      <x:c r="E22" s="22"/>
      <x:c r="F22" s="22"/>
      <x:c r="G22" s="19"/>
      <x:c r="H22" s="26"/>
      <x:c r="I22" s="19"/>
      <x:c r="J22" s="19"/>
      <x:c r="K22" s="19"/>
      <x:c r="L22" s="19"/>
      <x:c r="M22" s="19"/>
      <x:c r="N22" s="28" t="n">
        <x:f>SUM(N4:N21)</x:f>
        <x:v>154.35000000000002</x:v>
      </x:c>
      <x:c r="O22" s="30" t="n">
        <x:f>SUM(O4:O21)</x:f>
        <x:v>12089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6.440000057220459" hidden="0" customWidth="1"/>
    <x:col min="3" max="3" width="6" hidden="0" customWidth="1"/>
    <x:col min="4" max="4" width="56" hidden="0" customWidth="1"/>
    <x:col min="5" max="5" width="66" hidden="0" customWidth="1"/>
  </x:cols>
  <x:sheetData>
    <x:row r="1" ht="30" customHeight="1">
      <x:c r="A1" s="3" t="str">
        <x:v>Controlled Assumptions and Primary Sources</x:v>
      </x:c>
      <x:c r="B1" s="3"/>
      <x:c r="C1" s="3"/>
      <x:c r="D1" s="3"/>
      <x:c r="E1" s="3"/>
    </x:row>
    <x:row r="2" ht="34" customHeight="1">
      <x:c r="A2" s="7" t="str">
        <x:v>Change yellow value cells to test a scenario; dependent results update through formulas.</x:v>
      </x:c>
      <x:c r="B2" s="7"/>
      <x:c r="C2" s="7"/>
      <x:c r="D2" s="7"/>
      <x:c r="E2" s="7"/>
    </x:row>
    <x:row r="3" ht="34" customHeight="1">
      <x:c r="A3" s="11" t="str">
        <x:v>Parameter</x:v>
      </x:c>
      <x:c r="B3" s="11" t="str">
        <x:v>Value</x:v>
      </x:c>
      <x:c r="C3" s="11" t="str">
        <x:v>Unit</x:v>
      </x:c>
      <x:c r="D3" s="11" t="str">
        <x:v>Basis</x:v>
      </x:c>
      <x:c r="E3" s="11" t="str">
        <x:v>Primary source</x:v>
      </x:c>
    </x:row>
    <x:row r="4">
      <x:c r="A4" s="14" t="str">
        <x:v>Battery nominal energy</x:v>
      </x:c>
      <x:c r="B4" s="32" t="n">
        <x:v>5120</x:v>
      </x:c>
      <x:c r="C4" s="14" t="str">
        <x:v>Wh</x:v>
      </x:c>
      <x:c r="D4" s="14" t="str">
        <x:v>EcoFlow 5 kWh LFP specification</x:v>
      </x:c>
      <x:c r="E4" s="14" t="str">
        <x:v>https://ch.ecoflow.com/products/lfp-batterie-5kwh</x:v>
      </x:c>
    </x:row>
    <x:row r="5">
      <x:c r="A5" s="14" t="str">
        <x:v>Planning usable fraction</x:v>
      </x:c>
      <x:c r="B5" s="33" t="n">
        <x:v>0.8</x:v>
      </x:c>
      <x:c r="C5" s="14" t="str">
        <x:v>fraction</x:v>
      </x:c>
      <x:c r="D5" s="14" t="str">
        <x:v>Design planning assumption</x:v>
      </x:c>
      <x:c r="E5" s="14" t="str"/>
    </x:row>
    <x:row r="6">
      <x:c r="A6" s="14" t="str">
        <x:v>Autonomy contingency</x:v>
      </x:c>
      <x:c r="B6" s="33" t="n">
        <x:v>0.1</x:v>
      </x:c>
      <x:c r="C6" s="14" t="str">
        <x:v>fraction</x:v>
      </x:c>
      <x:c r="D6" s="14" t="str">
        <x:v>Design planning assumption</x:v>
      </x:c>
      <x:c r="E6" s="14" t="str"/>
    </x:row>
    <x:row r="7">
      <x:c r="A7" s="14" t="str">
        <x:v>Power Hub continuous output</x:v>
      </x:c>
      <x:c r="B7" s="32" t="n">
        <x:v>4000</x:v>
      </x:c>
      <x:c r="C7" s="14" t="str">
        <x:v>W</x:v>
      </x:c>
      <x:c r="D7" s="14" t="str">
        <x:v>EcoFlow Power Hub 5 kVA specification</x:v>
      </x:c>
      <x:c r="E7" s="14" t="str">
        <x:v>https://ch.ecoflow.com/products/ecoflow-power-kits-get-set-kit-5kva</x:v>
      </x:c>
    </x:row>
    <x:row r="8">
      <x:c r="A8" s="14" t="str">
        <x:v>Solar array rating</x:v>
      </x:c>
      <x:c r="B8" s="32" t="n">
        <x:v>700</x:v>
      </x:c>
      <x:c r="C8" s="14" t="str">
        <x:v>Wp</x:v>
      </x:c>
      <x:c r="D8" s="14" t="str">
        <x:v>Four EcoFlow 175 W panels</x:v>
      </x:c>
      <x:c r="E8" s="14" t="str">
        <x:v>https://ch.ecoflow.com/products/ecoflow-solarpanel-175-watt-starr-topcon</x:v>
      </x:c>
    </x:row>
    <x:row r="9">
      <x:c r="A9" s="14" t="str">
        <x:v>Solar end-to-end derate</x:v>
      </x:c>
      <x:c r="B9" s="33" t="n">
        <x:v>0.7</x:v>
      </x:c>
      <x:c r="C9" s="14" t="str">
        <x:v>fraction</x:v>
      </x:c>
      <x:c r="D9" s="14" t="str">
        <x:v>Planning allowance for temperature, wiring, conversion, orientation and dirt</x:v>
      </x:c>
      <x:c r="E9" s="14" t="str"/>
    </x:row>
    <x:row r="10">
      <x:c r="A10" s="14" t="str">
        <x:v>Summer peak sun hours</x:v>
      </x:c>
      <x:c r="B10" s="32" t="n">
        <x:v>5</x:v>
      </x:c>
      <x:c r="C10" s="14" t="str">
        <x:v>h/day</x:v>
      </x:c>
      <x:c r="D10" s="14" t="str">
        <x:v>Seasonal planning scenario; location study open</x:v>
      </x:c>
      <x:c r="E10" s="14" t="str"/>
    </x:row>
    <x:row r="11">
      <x:c r="A11" s="14" t="str">
        <x:v>Shoulder peak sun hours</x:v>
      </x:c>
      <x:c r="B11" s="32" t="n">
        <x:v>3</x:v>
      </x:c>
      <x:c r="C11" s="14" t="str">
        <x:v>h/day</x:v>
      </x:c>
      <x:c r="D11" s="14" t="str">
        <x:v>Seasonal planning scenario; location study open</x:v>
      </x:c>
      <x:c r="E11" s="14" t="str"/>
    </x:row>
    <x:row r="12">
      <x:c r="A12" s="14" t="str">
        <x:v>Winter peak sun hours</x:v>
      </x:c>
      <x:c r="B12" s="32" t="n">
        <x:v>1.5</x:v>
      </x:c>
      <x:c r="C12" s="14" t="str">
        <x:v>h/day</x:v>
      </x:c>
      <x:c r="D12" s="14" t="str">
        <x:v>Seasonal planning scenario; location study open</x:v>
      </x:c>
      <x:c r="E12" s="14" t="str"/>
    </x:row>
    <x:row r="13">
      <x:c r="A13" s="14" t="str">
        <x:v>AC input voltage</x:v>
      </x:c>
      <x:c r="B13" s="32" t="n">
        <x:v>230</x:v>
      </x:c>
      <x:c r="C13" s="14" t="str">
        <x:v>V</x:v>
      </x:c>
      <x:c r="D13" s="14" t="str">
        <x:v>European nominal supply</x:v>
      </x:c>
      <x:c r="E13" s="14" t="str"/>
    </x:row>
    <x:row r="14">
      <x:c r="A14" s="14" t="str">
        <x:v>Initial AC current limit</x:v>
      </x:c>
      <x:c r="B14" s="32" t="n">
        <x:v>6</x:v>
      </x:c>
      <x:c r="C14" s="14" t="str">
        <x:v>A</x:v>
      </x:c>
      <x:c r="D14" s="14" t="str">
        <x:v>Conservative common shore/V2L planning setting</x:v>
      </x:c>
      <x:c r="E14" s="14" t="str"/>
    </x:row>
    <x:row r="15">
      <x:c r="A15" s="14" t="str">
        <x:v>AC charge efficiency</x:v>
      </x:c>
      <x:c r="B15" s="33" t="n">
        <x:v>0.9</x:v>
      </x:c>
      <x:c r="C15" s="14" t="str">
        <x:v>fraction</x:v>
      </x:c>
      <x:c r="D15" s="14" t="str">
        <x:v>Planning assumption</x:v>
      </x:c>
      <x:c r="E15" s="14" t="str"/>
    </x:row>
    <x:row r="16">
      <x:c r="A16" s="14" t="str">
        <x:v>Conditional travel voltage</x:v>
      </x:c>
      <x:c r="B16" s="32" t="n">
        <x:v>13.8</x:v>
      </x:c>
      <x:c r="C16" s="14" t="str">
        <x:v>V</x:v>
      </x:c>
      <x:c r="D16" s="14" t="str">
        <x:v>Vehicle auxiliary-bus planning value</x:v>
      </x:c>
      <x:c r="E16" s="14" t="str"/>
    </x:row>
    <x:row r="17">
      <x:c r="A17" s="14" t="str">
        <x:v>Conditional travel current</x:v>
      </x:c>
      <x:c r="B17" s="32" t="n">
        <x:v>20</x:v>
      </x:c>
      <x:c r="C17" s="14" t="str">
        <x:v>A</x:v>
      </x:c>
      <x:c r="D17" s="14" t="str">
        <x:v>Maximum pending Renault upfitter approval</x:v>
      </x:c>
      <x:c r="E17" s="14" t="str"/>
    </x:row>
    <x:row r="18">
      <x:c r="A18" s="14" t="str">
        <x:v>Travel charge efficiency</x:v>
      </x:c>
      <x:c r="B18" s="33" t="n">
        <x:v>0.85</x:v>
      </x:c>
      <x:c r="C18" s="14" t="str">
        <x:v>fraction</x:v>
      </x:c>
      <x:c r="D18" s="14" t="str">
        <x:v>Planning assumption</x:v>
      </x:c>
      <x:c r="E18" s="14" t="str"/>
    </x:row>
    <x:row r="19">
      <x:c r="A19" s="14" t="str">
        <x:v>Renault published V2L maximum</x:v>
      </x:c>
      <x:c r="B19" s="32" t="n">
        <x:v>3500</x:v>
      </x:c>
      <x:c r="C19" s="14" t="str">
        <x:v>W</x:v>
      </x:c>
      <x:c r="D19" s="14" t="str">
        <x:v>Current Master E-Tech media specification; exact vehicle option open</x:v>
      </x:c>
      <x:c r="E19" s="14" t="str">
        <x:v>https://media.renault.com/europes-leading-large-van-renault-master-is-expanding-its-range-and-gaining-a-range-of-new-features/?lang=eng</x:v>
      </x:c>
    </x:row>
  </x:sheetData>
  <x:mergeCells>
    <x:mergeCell ref="A1:E1"/>
    <x:mergeCell ref="A2:E2"/>
  </x:mergeCells>
  <x:pageMargins left="0.7" right="0.7" top="0.75" bottom="0.75" header="0.3" footer="0.3"/>
</x:worksheet>
</file>